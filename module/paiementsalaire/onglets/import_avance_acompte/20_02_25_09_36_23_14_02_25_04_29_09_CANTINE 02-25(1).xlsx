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oussou.sidibe\Documents\Gaoussou Sidibe\AFRIK EMPLOI\SALAIRE\2025\02-FEV-25\"/>
    </mc:Choice>
  </mc:AlternateContent>
  <xr:revisionPtr revIDLastSave="0" documentId="8_{57525DCB-DE8F-44BB-8F93-ABFD9247C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mple" sheetId="1" r:id="rId1"/>
  </sheets>
  <definedNames>
    <definedName name="_xlnm._FilterDatabase" localSheetId="0" hidden="1">Exemple!$A$1:$H$1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5" i="1"/>
  <c r="E14" i="1"/>
  <c r="E13" i="1"/>
  <c r="E12" i="1"/>
  <c r="E10" i="1"/>
  <c r="E11" i="1"/>
  <c r="E16" i="1"/>
  <c r="E9" i="1"/>
  <c r="E8" i="1"/>
  <c r="E7" i="1"/>
  <c r="E6" i="1"/>
  <c r="E4" i="1"/>
  <c r="E3" i="1"/>
  <c r="E2" i="1"/>
  <c r="E5" i="1"/>
</calcChain>
</file>

<file path=xl/sharedStrings.xml><?xml version="1.0" encoding="utf-8"?>
<sst xmlns="http://schemas.openxmlformats.org/spreadsheetml/2006/main" count="66" uniqueCount="44">
  <si>
    <t>ID</t>
  </si>
  <si>
    <t>Nom</t>
  </si>
  <si>
    <t>Prénom</t>
  </si>
  <si>
    <t>Libélé</t>
  </si>
  <si>
    <t>Montant</t>
  </si>
  <si>
    <t>Nombre de mois</t>
  </si>
  <si>
    <t>Mois debut</t>
  </si>
  <si>
    <t>Année debut</t>
  </si>
  <si>
    <t>DIALLO</t>
  </si>
  <si>
    <t>SOW</t>
  </si>
  <si>
    <t>OUMAR</t>
  </si>
  <si>
    <t>DOUMBIA</t>
  </si>
  <si>
    <t>DJENEBOU</t>
  </si>
  <si>
    <t>TOURE</t>
  </si>
  <si>
    <t>DRISSA</t>
  </si>
  <si>
    <t>MOUSSA</t>
  </si>
  <si>
    <t>MAIGA</t>
  </si>
  <si>
    <t>IDRISSA A</t>
  </si>
  <si>
    <t>SIDIBE</t>
  </si>
  <si>
    <t>GAOUSSOU</t>
  </si>
  <si>
    <t>TANGARA</t>
  </si>
  <si>
    <t>KOULOUSSOUMOU</t>
  </si>
  <si>
    <t>YOUMA</t>
  </si>
  <si>
    <t>KONTE</t>
  </si>
  <si>
    <t>ABDOULKADER</t>
  </si>
  <si>
    <t>KOITA</t>
  </si>
  <si>
    <t>TOUDO</t>
  </si>
  <si>
    <t>OUATTARA</t>
  </si>
  <si>
    <t>SAMBA</t>
  </si>
  <si>
    <t>CISSE</t>
  </si>
  <si>
    <t>NANTENIN</t>
  </si>
  <si>
    <t>CAMARA</t>
  </si>
  <si>
    <t>MARIAM</t>
  </si>
  <si>
    <t>SANGARE</t>
  </si>
  <si>
    <t>DIOME</t>
  </si>
  <si>
    <t>TRAORE</t>
  </si>
  <si>
    <t>DIOP</t>
  </si>
  <si>
    <t>AMADOU PAPA</t>
  </si>
  <si>
    <t>WANE</t>
  </si>
  <si>
    <t>DJICKY</t>
  </si>
  <si>
    <t>FRAIS CANTINE</t>
  </si>
  <si>
    <t>SORY IBRAHIM</t>
  </si>
  <si>
    <t>DIARRA</t>
  </si>
  <si>
    <t>PHILLIPE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</si>
</sst>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24" sqref="F24"/>
    </sheetView>
  </sheetViews>
  <sheetFormatPr baseColWidth="10" defaultColWidth="8.88671875" defaultRowHeight="14.4" x14ac:dyDescent="0.3"/>
  <cols>
    <col min="1" max="3" width="15.6640625" customWidth="1"/>
    <col min="4" max="4" width="21.33203125" hidden="1" customWidth="1"/>
    <col min="5" max="8" width="15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33</v>
      </c>
      <c r="B2" t="s">
        <v>9</v>
      </c>
      <c r="C2" t="s">
        <v>10</v>
      </c>
      <c r="D2" t="s">
        <v>40</v>
      </c>
      <c r="E2">
        <f>600*28</f>
        <v>16800</v>
      </c>
      <c r="F2">
        <v>1</v>
      </c>
      <c r="G2">
        <v>2</v>
      </c>
      <c r="H2">
        <v>2025</v>
      </c>
    </row>
    <row r="3" spans="1:8" x14ac:dyDescent="0.3">
      <c r="A3">
        <v>34</v>
      </c>
      <c r="B3" t="s">
        <v>11</v>
      </c>
      <c r="C3" t="s">
        <v>12</v>
      </c>
      <c r="D3" t="s">
        <v>40</v>
      </c>
      <c r="E3">
        <f>600*10</f>
        <v>6000</v>
      </c>
      <c r="F3">
        <v>1</v>
      </c>
      <c r="G3">
        <v>2</v>
      </c>
      <c r="H3">
        <v>2025</v>
      </c>
    </row>
    <row r="4" spans="1:8" x14ac:dyDescent="0.3">
      <c r="A4">
        <v>35</v>
      </c>
      <c r="B4" t="s">
        <v>13</v>
      </c>
      <c r="C4" t="s">
        <v>14</v>
      </c>
      <c r="D4" t="s">
        <v>40</v>
      </c>
      <c r="E4">
        <f>600*20</f>
        <v>12000</v>
      </c>
      <c r="F4">
        <v>1</v>
      </c>
      <c r="G4">
        <v>2</v>
      </c>
      <c r="H4">
        <v>2025</v>
      </c>
    </row>
    <row r="5" spans="1:8" x14ac:dyDescent="0.3">
      <c r="A5">
        <v>36</v>
      </c>
      <c r="B5" t="s">
        <v>11</v>
      </c>
      <c r="C5" t="s">
        <v>15</v>
      </c>
      <c r="D5" t="s">
        <v>40</v>
      </c>
      <c r="E5">
        <f>600*22</f>
        <v>13200</v>
      </c>
      <c r="F5">
        <v>1</v>
      </c>
      <c r="G5">
        <v>2</v>
      </c>
      <c r="H5">
        <v>2025</v>
      </c>
    </row>
    <row r="6" spans="1:8" x14ac:dyDescent="0.3">
      <c r="A6">
        <v>37</v>
      </c>
      <c r="B6" t="s">
        <v>16</v>
      </c>
      <c r="C6" t="s">
        <v>17</v>
      </c>
      <c r="D6" t="s">
        <v>40</v>
      </c>
      <c r="E6">
        <f>600*7</f>
        <v>4200</v>
      </c>
      <c r="F6">
        <v>1</v>
      </c>
      <c r="G6">
        <v>2</v>
      </c>
      <c r="H6">
        <v>2025</v>
      </c>
    </row>
    <row r="7" spans="1:8" x14ac:dyDescent="0.3">
      <c r="A7">
        <v>39</v>
      </c>
      <c r="B7" t="s">
        <v>18</v>
      </c>
      <c r="C7" t="s">
        <v>19</v>
      </c>
      <c r="D7" t="s">
        <v>40</v>
      </c>
      <c r="E7">
        <f>600*20</f>
        <v>12000</v>
      </c>
      <c r="F7">
        <v>1</v>
      </c>
      <c r="G7">
        <v>2</v>
      </c>
      <c r="H7">
        <v>2025</v>
      </c>
    </row>
    <row r="8" spans="1:8" x14ac:dyDescent="0.3">
      <c r="A8">
        <v>42</v>
      </c>
      <c r="B8" t="s">
        <v>18</v>
      </c>
      <c r="C8" t="s">
        <v>10</v>
      </c>
      <c r="D8" t="s">
        <v>40</v>
      </c>
      <c r="E8">
        <f>600*20</f>
        <v>12000</v>
      </c>
      <c r="F8">
        <v>1</v>
      </c>
      <c r="G8">
        <v>2</v>
      </c>
      <c r="H8">
        <v>2025</v>
      </c>
    </row>
    <row r="9" spans="1:8" x14ac:dyDescent="0.3">
      <c r="A9">
        <v>44</v>
      </c>
      <c r="B9" t="s">
        <v>20</v>
      </c>
      <c r="C9" t="s">
        <v>21</v>
      </c>
      <c r="D9" t="s">
        <v>40</v>
      </c>
      <c r="E9">
        <f>600*20</f>
        <v>12000</v>
      </c>
      <c r="F9">
        <v>1</v>
      </c>
      <c r="G9">
        <v>2</v>
      </c>
      <c r="H9">
        <v>2025</v>
      </c>
    </row>
    <row r="10" spans="1:8" x14ac:dyDescent="0.3">
      <c r="A10">
        <v>45</v>
      </c>
      <c r="B10" t="s">
        <v>8</v>
      </c>
      <c r="C10" t="s">
        <v>22</v>
      </c>
      <c r="D10" t="s">
        <v>40</v>
      </c>
      <c r="E10">
        <f>400*20</f>
        <v>8000</v>
      </c>
      <c r="F10">
        <v>1</v>
      </c>
      <c r="G10">
        <v>2</v>
      </c>
      <c r="H10">
        <v>2025</v>
      </c>
    </row>
    <row r="11" spans="1:8" x14ac:dyDescent="0.3">
      <c r="A11">
        <v>47</v>
      </c>
      <c r="B11" t="s">
        <v>23</v>
      </c>
      <c r="C11" t="s">
        <v>24</v>
      </c>
      <c r="D11" t="s">
        <v>40</v>
      </c>
      <c r="E11">
        <f>600*20</f>
        <v>12000</v>
      </c>
      <c r="F11">
        <v>1</v>
      </c>
      <c r="G11">
        <v>2</v>
      </c>
      <c r="H11">
        <v>2025</v>
      </c>
    </row>
    <row r="12" spans="1:8" x14ac:dyDescent="0.3">
      <c r="A12">
        <v>49</v>
      </c>
      <c r="B12" t="s">
        <v>25</v>
      </c>
      <c r="C12" t="s">
        <v>26</v>
      </c>
      <c r="D12" t="s">
        <v>40</v>
      </c>
      <c r="E12">
        <f>400*20</f>
        <v>8000</v>
      </c>
      <c r="F12">
        <v>1</v>
      </c>
      <c r="G12">
        <v>2</v>
      </c>
      <c r="H12">
        <v>2025</v>
      </c>
    </row>
    <row r="13" spans="1:8" x14ac:dyDescent="0.3">
      <c r="A13">
        <v>52</v>
      </c>
      <c r="B13" t="s">
        <v>27</v>
      </c>
      <c r="C13" t="s">
        <v>28</v>
      </c>
      <c r="D13" t="s">
        <v>40</v>
      </c>
      <c r="E13">
        <f>600*13</f>
        <v>7800</v>
      </c>
      <c r="F13">
        <v>1</v>
      </c>
      <c r="G13">
        <v>2</v>
      </c>
      <c r="H13">
        <v>2025</v>
      </c>
    </row>
    <row r="14" spans="1:8" x14ac:dyDescent="0.3">
      <c r="A14">
        <v>53</v>
      </c>
      <c r="B14" t="s">
        <v>29</v>
      </c>
      <c r="C14" t="s">
        <v>30</v>
      </c>
      <c r="D14" t="s">
        <v>40</v>
      </c>
      <c r="E14">
        <f>600*0</f>
        <v>0</v>
      </c>
      <c r="F14">
        <v>1</v>
      </c>
      <c r="G14">
        <v>2</v>
      </c>
      <c r="H14">
        <v>2025</v>
      </c>
    </row>
    <row r="15" spans="1:8" x14ac:dyDescent="0.3">
      <c r="A15">
        <v>54</v>
      </c>
      <c r="B15" t="s">
        <v>31</v>
      </c>
      <c r="C15" t="s">
        <v>32</v>
      </c>
      <c r="D15" t="s">
        <v>40</v>
      </c>
      <c r="E15">
        <f>400*20</f>
        <v>8000</v>
      </c>
      <c r="F15">
        <v>1</v>
      </c>
      <c r="G15">
        <v>2</v>
      </c>
      <c r="H15">
        <v>2025</v>
      </c>
    </row>
    <row r="16" spans="1:8" x14ac:dyDescent="0.3">
      <c r="A16">
        <v>55</v>
      </c>
      <c r="B16" t="s">
        <v>33</v>
      </c>
      <c r="C16" t="s">
        <v>34</v>
      </c>
      <c r="D16" t="s">
        <v>40</v>
      </c>
      <c r="E16">
        <f>600*20</f>
        <v>12000</v>
      </c>
      <c r="F16">
        <v>1</v>
      </c>
      <c r="G16">
        <v>2</v>
      </c>
      <c r="H16">
        <v>2025</v>
      </c>
    </row>
    <row r="17" spans="1:8" x14ac:dyDescent="0.3">
      <c r="A17">
        <v>57</v>
      </c>
      <c r="B17" t="s">
        <v>36</v>
      </c>
      <c r="C17" t="s">
        <v>37</v>
      </c>
      <c r="D17" t="s">
        <v>40</v>
      </c>
      <c r="E17">
        <f>600*15</f>
        <v>9000</v>
      </c>
      <c r="F17">
        <v>1</v>
      </c>
      <c r="G17">
        <v>2</v>
      </c>
      <c r="H17">
        <v>2025</v>
      </c>
    </row>
    <row r="18" spans="1:8" x14ac:dyDescent="0.3">
      <c r="A18">
        <v>59</v>
      </c>
      <c r="B18" t="s">
        <v>38</v>
      </c>
      <c r="C18" t="s">
        <v>32</v>
      </c>
      <c r="D18" t="s">
        <v>40</v>
      </c>
      <c r="E18">
        <f>600*5</f>
        <v>3000</v>
      </c>
      <c r="F18">
        <v>1</v>
      </c>
      <c r="G18">
        <v>2</v>
      </c>
      <c r="H18">
        <v>2025</v>
      </c>
    </row>
    <row r="19" spans="1:8" x14ac:dyDescent="0.3">
      <c r="A19">
        <v>82</v>
      </c>
      <c r="B19" t="s">
        <v>35</v>
      </c>
      <c r="C19" t="s">
        <v>39</v>
      </c>
      <c r="D19" t="s">
        <v>40</v>
      </c>
      <c r="E19">
        <f>600*5</f>
        <v>3000</v>
      </c>
      <c r="F19">
        <v>1</v>
      </c>
      <c r="G19">
        <v>2</v>
      </c>
      <c r="H19">
        <v>2025</v>
      </c>
    </row>
    <row r="20" spans="1:8" x14ac:dyDescent="0.3">
      <c r="A20">
        <v>569</v>
      </c>
      <c r="B20" t="s">
        <v>13</v>
      </c>
      <c r="C20" t="s">
        <v>41</v>
      </c>
      <c r="E20">
        <f>600*20</f>
        <v>12000</v>
      </c>
      <c r="F20">
        <v>1</v>
      </c>
      <c r="G20">
        <v>2</v>
      </c>
      <c r="H20">
        <v>2025</v>
      </c>
    </row>
    <row r="21" spans="1:8" x14ac:dyDescent="0.3">
      <c r="A21">
        <v>570</v>
      </c>
      <c r="B21" t="s">
        <v>42</v>
      </c>
      <c r="C21" t="s">
        <v>43</v>
      </c>
      <c r="E21">
        <f>600*21</f>
        <v>12600</v>
      </c>
      <c r="F21">
        <v>1</v>
      </c>
      <c r="G21">
        <v>2</v>
      </c>
      <c r="H21">
        <v>2025</v>
      </c>
    </row>
  </sheetData>
  <sheetProtection formatCells="0" formatColumns="0" formatRows="0" insertColumns="0" insertRows="0" insertHyperlinks="0" deleteColumns="0" deleteRows="0" sort="0" autoFilter="0" pivotTables="0"/>
  <autoFilter ref="A1:H1" xr:uid="{00000000-0001-0000-0000-000000000000}">
    <sortState xmlns:xlrd2="http://schemas.microsoft.com/office/spreadsheetml/2017/richdata2" ref="A2:H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Exemple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 de Test Dolibarr</dc:title>
  <dc:subject>Document de Test Dolibarr</dc:subject>
  <dc:creator>Votre Nom</dc:creator>
  <cp:keywords>dolibarr php phpspreadsheet</cp:keywords>
  <dc:description>Document de test généré pour Dolibarr en utilisant PhpSpreadsheet.</dc:description>
  <cp:lastModifiedBy>Gaoussou Sidibe</cp:lastModifiedBy>
  <dcterms:created xsi:type="dcterms:W3CDTF">2024-09-06T10:35:59Z</dcterms:created>
  <dcterms:modified xsi:type="dcterms:W3CDTF">2025-02-14T16:28:41Z</dcterms:modified>
  <cp:category>Fichier de test</cp:category>
</cp:coreProperties>
</file>